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тапы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'Этапы'!$A$1:$G$66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8D2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DF"/>
        </patternFill>
      </fill>
    </dxf>
    <dxf>
      <fill>
        <patternFill patternType="solid">
          <fgColor rgb="00FFF2C2"/>
        </patternFill>
      </fill>
    </dxf>
    <dxf>
      <fill>
        <patternFill patternType="solid">
          <fgColor rgb="00E3ECF7"/>
        </patternFill>
      </fill>
    </dxf>
    <dxf>
      <fill>
        <patternFill patternType="solid">
          <fgColor rgb="00FDE2D8"/>
        </patternFill>
      </fill>
    </dxf>
    <dxf>
      <fill>
        <patternFill patternType="solid">
          <f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70" customWidth="1" min="3" max="3"/>
    <col width="20" customWidth="1" min="4" max="4"/>
    <col width="14" customWidth="1" min="5" max="5"/>
    <col width="11" customWidth="1" min="6" max="6"/>
    <col width="40" customWidth="1" min="7" max="7"/>
  </cols>
  <sheetData>
    <row r="1">
      <c r="A1" s="1" t="inlineStr">
        <is>
          <t>№</t>
        </is>
      </c>
      <c r="B1" s="1" t="inlineStr">
        <is>
          <t>Важность</t>
        </is>
      </c>
      <c r="C1" s="1" t="inlineStr">
        <is>
          <t>Что сделать</t>
        </is>
      </c>
      <c r="D1" s="1" t="inlineStr">
        <is>
          <t>Статус</t>
        </is>
      </c>
      <c r="E1" s="1" t="inlineStr">
        <is>
          <t>Дата закрытия</t>
        </is>
      </c>
      <c r="F1" s="1" t="inlineStr">
        <is>
          <t>Коммит</t>
        </is>
      </c>
      <c r="G1" s="1" t="inlineStr">
        <is>
          <t>Примечание</t>
        </is>
      </c>
    </row>
    <row r="2">
      <c r="A2" s="2" t="inlineStr">
        <is>
          <t>В10</t>
        </is>
      </c>
      <c r="B2" s="2" t="inlineStr">
        <is>
          <t>1. Деньги и потеря данных</t>
        </is>
      </c>
      <c r="C2" s="2" t="inlineStr">
        <is>
          <t>Табличка Г-образной / вогнутой комнаты — внутри своей комнаты; клик по ней при «Разместить» ставит пост в эту комнату</t>
        </is>
      </c>
      <c r="D2" s="2" t="inlineStr">
        <is>
          <t>сделано</t>
        </is>
      </c>
      <c r="E2" s="2" t="inlineStr">
        <is>
          <t>27.09.2026</t>
        </is>
      </c>
      <c r="F2" s="2" t="inlineStr">
        <is>
          <t>b2b1544</t>
        </is>
      </c>
      <c r="G2" s="2" t="inlineStr">
        <is>
          <t>Табличка переезжает внутрь и в старых проектах</t>
        </is>
      </c>
    </row>
    <row r="3">
      <c r="A3" s="2" t="inlineStr">
        <is>
          <t>В13</t>
        </is>
      </c>
      <c r="B3" s="2" t="inlineStr">
        <is>
          <t>1. Деньги и потеря данных</t>
        </is>
      </c>
      <c r="C3" s="2" t="inlineStr">
        <is>
          <t>Правка линий разметки не сбрасывает у Г-образной комнаты имя, площадь, схему, серию, отделку (меняются состав и цена)</t>
        </is>
      </c>
      <c r="D3" s="2" t="inlineStr">
        <is>
          <t>сделано</t>
        </is>
      </c>
      <c r="E3" s="2" t="inlineStr">
        <is>
          <t>29.09.2026</t>
        </is>
      </c>
      <c r="F3" s="2" t="inlineStr">
        <is>
          <t>3792773</t>
        </is>
      </c>
      <c r="G3" s="2" t="inlineStr">
        <is>
          <t>Г/П-комнаты сохраняют поля при пересборке; стандарт переносится у всех комнат</t>
        </is>
      </c>
    </row>
    <row r="4">
      <c r="A4" s="2" t="inlineStr">
        <is>
          <t>В11</t>
        </is>
      </c>
      <c r="B4" s="2" t="inlineStr">
        <is>
          <t>1. Деньги и потеря данных</t>
        </is>
      </c>
      <c r="C4" s="2" t="inlineStr">
        <is>
          <t>«Удалить» + «Разместить»: клик у стены / линии разметки не должен удалять стену или линию</t>
        </is>
      </c>
      <c r="D4" s="2" t="inlineStr">
        <is>
          <t>не начато</t>
        </is>
      </c>
      <c r="E4" s="2" t="inlineStr"/>
      <c r="F4" s="2" t="inlineStr"/>
      <c r="G4" s="2" t="inlineStr">
        <is>
          <t>Потеря данных, было и раньше</t>
        </is>
      </c>
    </row>
    <row r="5">
      <c r="A5" s="2" t="inlineStr">
        <is>
          <t>В5</t>
        </is>
      </c>
      <c r="B5" s="2" t="inlineStr">
        <is>
          <t>1. Деньги и потеря данных</t>
        </is>
      </c>
      <c r="C5" s="2" t="inlineStr">
        <is>
          <t>Многосерийная накладка при подмене сохраняет все серии, а не только первую (12 из 1631)</t>
        </is>
      </c>
      <c r="D5" s="2" t="inlineStr">
        <is>
          <t>не начато</t>
        </is>
      </c>
      <c r="E5" s="2" t="inlineStr"/>
      <c r="F5" s="2" t="inlineStr"/>
      <c r="G5" s="2" t="inlineStr"/>
    </row>
    <row r="6">
      <c r="A6" s="2" t="inlineStr">
        <is>
          <t>В7</t>
        </is>
      </c>
      <c r="B6" s="2" t="inlineStr">
        <is>
          <t>1. Деньги и потеря данных</t>
        </is>
      </c>
      <c r="C6" s="2" t="inlineStr">
        <is>
          <t>НДС «Начислить сверху»: «Итого без НДС» + «НДС» = «Итого с НДС» без расхождения в 0,01</t>
        </is>
      </c>
      <c r="D6" s="2" t="inlineStr">
        <is>
          <t>сделано</t>
        </is>
      </c>
      <c r="E6" s="2" t="inlineStr">
        <is>
          <t>13.10.2026</t>
        </is>
      </c>
      <c r="F6" s="2" t="inlineStr">
        <is>
          <t>359fad6</t>
        </is>
      </c>
      <c r="G6" s="2" t="inlineStr">
        <is>
          <t>Строки итогов сходятся до копейки в панели, КП и Excel; одно школьное округление на всю программу, как в Excel. В бэклоге В26: копейка на ручном курсе от 15 штук одного товара.</t>
        </is>
      </c>
    </row>
    <row r="7">
      <c r="A7" s="2" t="inlineStr">
        <is>
          <t>В8</t>
        </is>
      </c>
      <c r="B7" s="2" t="inlineStr">
        <is>
          <t>1. Деньги и потеря данных</t>
        </is>
      </c>
      <c r="C7" s="2" t="inlineStr">
        <is>
          <t>Автономер КП не выдаётся пустому проекту; ручной номер с опечаткой не сдвигает счётчик года</t>
        </is>
      </c>
      <c r="D7" s="2" t="inlineStr">
        <is>
          <t>сделано</t>
        </is>
      </c>
      <c r="E7" s="2" t="inlineStr">
        <is>
          <t>13.10.2026</t>
        </is>
      </c>
      <c r="F7" s="2" t="inlineStr">
        <is>
          <t>359fad6</t>
        </is>
      </c>
      <c r="G7" s="2" t="inlineStr">
        <is>
          <t>Пустой проект КП не открывает (сообщение), номер не занимает; ручной номер счётчик года не двигает.</t>
        </is>
      </c>
    </row>
    <row r="8">
      <c r="A8" s="2" t="inlineStr">
        <is>
          <t>В26</t>
        </is>
      </c>
      <c r="B8" s="2" t="inlineStr">
        <is>
          <t>1. Деньги и потеря данных</t>
        </is>
      </c>
      <c r="C8" s="2" t="inlineStr">
        <is>
          <t>Строка спецификации считается как в обычном счёте: количество × цена = сумма, суммы строк = «Оборудование»</t>
        </is>
      </c>
      <c r="D8" s="2" t="inlineStr">
        <is>
          <t>сделано</t>
        </is>
      </c>
      <c r="E8" s="2" t="inlineStr">
        <is>
          <t>14.10.2026</t>
        </is>
      </c>
      <c r="F8" s="2" t="inlineStr">
        <is>
          <t>a6c342e</t>
        </is>
      </c>
      <c r="G8" s="2" t="inlineStr">
        <is>
          <t>Счёт по изделиям; скидка, материалы и работы — от напечатанного «Оборудования»; одна цена поста в окне поста, подсказке, свойствах, раскладке КП; оба листа Excel. Проверено настоящим Excel. Уже выставленные КП при открытии сдвигаются на копейки–рубли.</t>
        </is>
      </c>
    </row>
    <row r="9">
      <c r="A9" s="2" t="inlineStr">
        <is>
          <t>И1</t>
        </is>
      </c>
      <c r="B9" s="2" t="inlineStr">
        <is>
          <t>2. Надёжность кода</t>
        </is>
      </c>
      <c r="C9" s="2" t="inlineStr">
        <is>
          <t>Разбиение app.js на модули по одному куску: окно поста → комнаты → КП и лист монтажника → клики по холсту</t>
        </is>
      </c>
      <c r="D9" s="2" t="inlineStr">
        <is>
          <t>сделано</t>
        </is>
      </c>
      <c r="E9" s="2" t="inlineStr">
        <is>
          <t>28.09.2026</t>
        </is>
      </c>
      <c r="F9" s="2" t="inlineStr">
        <is>
          <t>047787c</t>
        </is>
      </c>
      <c r="G9" s="2" t="inlineStr">
        <is>
          <t>app.js 6093→3501 строк; модули postBuilder, rooms, docs, canvasInput, roomDetect, wallScope; на экране ничего не изменилось. Точка отката — метка do-razdeleniya-app-js</t>
        </is>
      </c>
    </row>
    <row r="10">
      <c r="A10" s="6" t="inlineStr">
        <is>
          <t>В14</t>
        </is>
      </c>
      <c r="B10" s="6" t="inlineStr">
        <is>
          <t>4. Мелочи интерфейса</t>
        </is>
      </c>
      <c r="C10" s="6" t="inlineStr">
        <is>
          <t>Табличка Г-коридора целиком внутри (сейчас в углу «Г» краем за стеной, центр внутри)</t>
        </is>
      </c>
      <c r="D10" s="6" t="inlineStr">
        <is>
          <t>не начато</t>
        </is>
      </c>
      <c r="E10" s="6" t="inlineStr"/>
      <c r="F10" s="6" t="inlineStr"/>
      <c r="G10" s="6" t="inlineStr">
        <is>
          <t>Найдено 27.09 при проверке В10</t>
        </is>
      </c>
    </row>
    <row r="11">
      <c r="A11" s="2" t="inlineStr">
        <is>
          <t>И2</t>
        </is>
      </c>
      <c r="B11" s="2" t="inlineStr">
        <is>
          <t>2. Надёжность кода</t>
        </is>
      </c>
      <c r="C11" s="2" t="inlineStr">
        <is>
          <t>Правило: новый код интерфейса — в модуль своей подсистемы, в app.js только подключение</t>
        </is>
      </c>
      <c r="D11" s="2" t="inlineStr">
        <is>
          <t>в работе</t>
        </is>
      </c>
      <c r="E11" s="2" t="inlineStr">
        <is>
          <t>26.09.2026</t>
        </is>
      </c>
      <c r="F11" s="2" t="inlineStr">
        <is>
          <t>46e94aa</t>
        </is>
      </c>
      <c r="G11" s="2" t="inlineStr">
        <is>
          <t>Действует с 26.09</t>
        </is>
      </c>
    </row>
    <row r="12">
      <c r="A12" s="2" t="inlineStr">
        <is>
          <t>З1</t>
        </is>
      </c>
      <c r="B12" s="2" t="inlineStr">
        <is>
          <t>2. Надёжность кода</t>
        </is>
      </c>
      <c r="C12" s="2" t="inlineStr">
        <is>
          <t>Поиск краёв для автономера КП (А4) и счётчика элементов (Б1) — не запускался</t>
        </is>
      </c>
      <c r="D12" s="2" t="inlineStr">
        <is>
          <t>не начато</t>
        </is>
      </c>
      <c r="E12" s="2" t="inlineStr"/>
      <c r="F12" s="2" t="inlineStr"/>
      <c r="G12" s="2" t="inlineStr"/>
    </row>
    <row r="13">
      <c r="A13" s="2" t="inlineStr">
        <is>
          <t>З2</t>
        </is>
      </c>
      <c r="B13" s="2" t="inlineStr">
        <is>
          <t>2. Надёжность кода</t>
        </is>
      </c>
      <c r="C13" s="2" t="inlineStr">
        <is>
          <t>Убрать мёртвый код одиночных элементов — вместе с решением, что делать с ними в старых проектах</t>
        </is>
      </c>
      <c r="D13" s="2" t="inlineStr">
        <is>
          <t>не начато</t>
        </is>
      </c>
      <c r="E13" s="2" t="inlineStr"/>
      <c r="F13" s="2" t="inlineStr"/>
      <c r="G13" s="2" t="inlineStr"/>
    </row>
    <row r="14">
      <c r="A14" s="6" t="inlineStr">
        <is>
          <t>З9</t>
        </is>
      </c>
      <c r="B14" s="6" t="inlineStr">
        <is>
          <t>2. Надёжность кода</t>
        </is>
      </c>
      <c r="C14" s="6" t="inlineStr">
        <is>
          <t>Тесты ловят поломку цены и личной скидки в КП, имён комнат в документе, групп света в листе монтажника</t>
        </is>
      </c>
      <c r="D14" s="6" t="inlineStr">
        <is>
          <t>сделано</t>
        </is>
      </c>
      <c r="E14" s="6" t="inlineStr">
        <is>
          <t>28.09.2026</t>
        </is>
      </c>
      <c r="F14" s="6" t="inlineStr">
        <is>
          <t>88e41ec</t>
        </is>
      </c>
      <c r="G14" s="6" t="inlineStr">
        <is>
          <t>Найдено при разбиении app.js (дыра была и раньше)</t>
        </is>
      </c>
    </row>
    <row r="15">
      <c r="A15" s="6" t="inlineStr">
        <is>
          <t>З10</t>
        </is>
      </c>
      <c r="B15" s="6" t="inlineStr">
        <is>
          <t>2. Надёжность кода</t>
        </is>
      </c>
      <c r="C15" s="6" t="inlineStr">
        <is>
          <t>Тесты ловят поломку перетаскивания: порог клик/перенос, отмена Esc, сохранение позиции, блокировка пробелом</t>
        </is>
      </c>
      <c r="D15" s="6" t="inlineStr">
        <is>
          <t>сделано</t>
        </is>
      </c>
      <c r="E15" s="6" t="inlineStr">
        <is>
          <t>28.09.2026</t>
        </is>
      </c>
      <c r="F15" s="6" t="inlineStr">
        <is>
          <t>3bfba3e</t>
        </is>
      </c>
      <c r="G15" s="6" t="inlineStr">
        <is>
          <t>Найдено при разбиении app.js</t>
        </is>
      </c>
    </row>
    <row r="16">
      <c r="A16" s="6" t="inlineStr">
        <is>
          <t>З8</t>
        </is>
      </c>
      <c r="B16" s="6" t="inlineStr">
        <is>
          <t>2. Надёжность кода</t>
        </is>
      </c>
      <c r="C16" s="6" t="inlineStr">
        <is>
          <t>Тесты ловят поломку правки вершин контура комнаты</t>
        </is>
      </c>
      <c r="D16" s="6" t="inlineStr">
        <is>
          <t>сделано</t>
        </is>
      </c>
      <c r="E16" s="6" t="inlineStr">
        <is>
          <t>28.09.2026</t>
        </is>
      </c>
      <c r="F16" s="6" t="inlineStr">
        <is>
          <t>7cdbbf8</t>
        </is>
      </c>
      <c r="G16" s="6" t="inlineStr">
        <is>
          <t>Найдено при разбиении app.js</t>
        </is>
      </c>
    </row>
    <row r="17">
      <c r="A17" s="6" t="inlineStr">
        <is>
          <t>З11</t>
        </is>
      </c>
      <c r="B17" s="6" t="inlineStr">
        <is>
          <t>2. Надёжность кода</t>
        </is>
      </c>
      <c r="C17" s="6" t="inlineStr">
        <is>
          <t>Тесты ловят поломку инструмента «Разметка»: очистка, притяжение к точке, пересборка при удалении линии</t>
        </is>
      </c>
      <c r="D17" s="6" t="inlineStr">
        <is>
          <t>сделано</t>
        </is>
      </c>
      <c r="E17" s="6" t="inlineStr">
        <is>
          <t>28.09.2026</t>
        </is>
      </c>
      <c r="F17" s="6" t="inlineStr">
        <is>
          <t>08bcd70</t>
        </is>
      </c>
      <c r="G17" s="6" t="inlineStr">
        <is>
          <t>Найдено при разбиении app.js</t>
        </is>
      </c>
    </row>
    <row r="18">
      <c r="A18" s="6" t="inlineStr">
        <is>
          <t>З12</t>
        </is>
      </c>
      <c r="B18" s="6" t="inlineStr">
        <is>
          <t>2. Надёжность кода</t>
        </is>
      </c>
      <c r="C18" s="6" t="inlineStr">
        <is>
          <t>Инструмент тестов правильно вырезает последнюю функцию модуля</t>
        </is>
      </c>
      <c r="D18" s="6" t="inlineStr">
        <is>
          <t>сделано</t>
        </is>
      </c>
      <c r="E18" s="6" t="inlineStr">
        <is>
          <t>28.09.2026</t>
        </is>
      </c>
      <c r="F18" s="6" t="inlineStr"/>
      <c r="G18" s="6" t="inlineStr">
        <is>
          <t>Правка была в 1e647e9; тесты закрепляют её на всех модулях</t>
        </is>
      </c>
    </row>
    <row r="19">
      <c r="A19" s="2" t="inlineStr">
        <is>
          <t>Б3</t>
        </is>
      </c>
      <c r="B19" s="2" t="inlineStr">
        <is>
          <t>3. Функции по просьбе заказчика</t>
        </is>
      </c>
      <c r="C19" s="2" t="inlineStr">
        <is>
          <t>Поворот плана («повернуть нужно обязательно»)</t>
        </is>
      </c>
      <c r="D19" s="2" t="inlineStr">
        <is>
          <t>сделано</t>
        </is>
      </c>
      <c r="E19" s="2" t="inlineStr">
        <is>
          <t>05.10.2026</t>
        </is>
      </c>
      <c r="F19" s="2" t="inlineStr">
        <is>
          <t>7add36a</t>
        </is>
      </c>
      <c r="G19" s="2" t="inlineStr">
        <is>
          <t>Оба варианта (только чертёж / весь план) и оба угла (90° / любой); весь план — на холсте, в КП и листе монтажника; подписи прямые, цена не меняется</t>
        </is>
      </c>
    </row>
    <row r="20">
      <c r="A20" s="2" t="inlineStr">
        <is>
          <t>Б4</t>
        </is>
      </c>
      <c r="B20" s="2" t="inlineStr">
        <is>
          <t>3. Функции по просьбе заказчика</t>
        </is>
      </c>
      <c r="C20" s="2" t="inlineStr">
        <is>
          <t>Отмена и повтор действия (undo / redo)</t>
        </is>
      </c>
      <c r="D20" s="2" t="inlineStr">
        <is>
          <t>сделано</t>
        </is>
      </c>
      <c r="E20" s="2" t="inlineStr">
        <is>
          <t>07.10.2026</t>
        </is>
      </c>
      <c r="F20" s="2" t="inlineStr">
        <is>
          <t>b09dc37</t>
        </is>
      </c>
      <c r="G20" s="2" t="inlineStr">
        <is>
          <t>Кнопки «Отменить/Вернуть», Ctrl+Z/Y, 50 шагов: посты, стены, разметка, комнаты, окно поста, поворот, очистка, «Убрать план», чертёж; смета возвращается; настройки и вид не откатываются</t>
        </is>
      </c>
    </row>
    <row r="21">
      <c r="A21" s="2" t="inlineStr">
        <is>
          <t>Б5</t>
        </is>
      </c>
      <c r="B21" s="2" t="inlineStr">
        <is>
          <t>3. Функции по просьбе заказчика</t>
        </is>
      </c>
      <c r="C21" s="2" t="inlineStr">
        <is>
          <t>Групповое выделение («обязательно для отелей»)</t>
        </is>
      </c>
      <c r="D21" s="2" t="inlineStr">
        <is>
          <t>сделано</t>
        </is>
      </c>
      <c r="E21" s="2" t="inlineStr">
        <is>
          <t>10.10.2026</t>
        </is>
      </c>
      <c r="F21" s="2" t="inlineStr">
        <is>
          <t>69a896b</t>
        </is>
      </c>
      <c r="G21" s="2" t="inlineStr">
        <is>
          <t>Рамка мышью и Ctrl+клик, «Выделено: N», карточка группы с суммой; группу можно перетащить, сдвинуть стрелками, удалить; каждый пост в своей комнате; отмена одним шагом. Только посты</t>
        </is>
      </c>
    </row>
    <row r="22">
      <c r="A22" s="2" t="inlineStr">
        <is>
          <t>Б9</t>
        </is>
      </c>
      <c r="B22" s="2" t="inlineStr">
        <is>
          <t>3. Функции по просьбе заказчика</t>
        </is>
      </c>
      <c r="C22" s="2" t="inlineStr">
        <is>
          <t>Копирование постов («да, с избранным на N комбинаций»)</t>
        </is>
      </c>
      <c r="D22" s="2" t="inlineStr">
        <is>
          <t>сделано</t>
        </is>
      </c>
      <c r="E22" s="2" t="inlineStr">
        <is>
          <t>11.10.2026</t>
        </is>
      </c>
      <c r="F22" s="2" t="inlineStr">
        <is>
          <t>aabbb78</t>
        </is>
      </c>
      <c r="G22" s="2" t="inlineStr">
        <is>
          <t>Ctrl+C / Ctrl+V: копии встают под мышью в том же расположении, считаются по своей комнате, отмена одним шагом; свои номера проходных; накладка, уже подходящая комнате, не меняется (и при «Разместить»); два сообщения с крестиком. Не сделано: «избранное на N комбинаций» — вопрос заказчику. В бэклоге: В22 (автосдвиг выносит пост за стену), В23 (снятая с производства накладка).</t>
        </is>
      </c>
    </row>
    <row r="23">
      <c r="A23" s="2" t="inlineStr">
        <is>
          <t>А5</t>
        </is>
      </c>
      <c r="B23" s="2" t="inlineStr">
        <is>
          <t>3. Функции по просьбе заказчика</t>
        </is>
      </c>
      <c r="C23" s="2" t="inlineStr">
        <is>
          <t>Реквизиты с галочками: какие поля показывать в КП (свои и заказчика)</t>
        </is>
      </c>
      <c r="D23" s="2" t="inlineStr">
        <is>
          <t>сделано</t>
        </is>
      </c>
      <c r="E23" s="2" t="inlineStr">
        <is>
          <t>03.10.2026</t>
        </is>
      </c>
      <c r="F23" s="2" t="inlineStr">
        <is>
          <t>8e7129e</t>
        </is>
      </c>
      <c r="G23" s="2" t="inlineStr">
        <is>
          <t>«Мои реквизиты» (общие для всех проектов) и «Реквизиты заказчика» (свои у проекта): ФИО, телефон и e-mail печатаются всегда, остальное — по галочке «показывать в КП»; «Разработчик» под своей галочкой. Перепроверено в браузере 11.10: снятые поля в шапке КП не печатаются, после перезагрузки всё на месте.</t>
        </is>
      </c>
    </row>
    <row r="24">
      <c r="A24" s="2" t="inlineStr">
        <is>
          <t>А6</t>
        </is>
      </c>
      <c r="B24" s="2" t="inlineStr">
        <is>
          <t>3. Функции по просьбе заказчика</t>
        </is>
      </c>
      <c r="C24" s="2" t="inlineStr">
        <is>
          <t>Спецификация в Excel</t>
        </is>
      </c>
      <c r="D24" s="2" t="inlineStr">
        <is>
          <t>сделано</t>
        </is>
      </c>
      <c r="E24" s="2" t="inlineStr">
        <is>
          <t>03.10.2026</t>
        </is>
      </c>
      <c r="F24" s="2" t="inlineStr">
        <is>
          <t>4ace33c</t>
        </is>
      </c>
      <c r="G24" s="2" t="inlineStr">
        <is>
          <t>Кнопка «Спецификация Excel» рядом с КП: файл .xlsx с листами «Спецификация» (как в КП) и «По артикулам» (поставщику); числа — числами, итог — формулой. Перепроверено 11.10: итоги файла равны КП до копейки. Состязательной проверки не было.</t>
        </is>
      </c>
    </row>
    <row r="25">
      <c r="A25" s="2" t="inlineStr">
        <is>
          <t>Б6</t>
        </is>
      </c>
      <c r="B25" s="2" t="inlineStr">
        <is>
          <t>3. Функции по просьбе заказчика</t>
        </is>
      </c>
      <c r="C25" s="2" t="inlineStr">
        <is>
          <t>Этажи</t>
        </is>
      </c>
      <c r="D25" s="2" t="inlineStr">
        <is>
          <t>не начато</t>
        </is>
      </c>
      <c r="E25" s="2" t="inlineStr"/>
      <c r="F25" s="2" t="inlineStr"/>
      <c r="G25" s="2" t="inlineStr"/>
    </row>
    <row r="26">
      <c r="A26" s="2" t="inlineStr">
        <is>
          <t>Б7</t>
        </is>
      </c>
      <c r="B26" s="2" t="inlineStr">
        <is>
          <t>3. Функции по просьбе заказчика</t>
        </is>
      </c>
      <c r="C26" s="2" t="inlineStr">
        <is>
          <t>Экспликация по комнатам</t>
        </is>
      </c>
      <c r="D26" s="2" t="inlineStr">
        <is>
          <t>не начато</t>
        </is>
      </c>
      <c r="E26" s="2" t="inlineStr"/>
      <c r="F26" s="2" t="inlineStr"/>
      <c r="G26" s="2" t="inlineStr"/>
    </row>
    <row r="27">
      <c r="A27" s="2" t="inlineStr">
        <is>
          <t>А7</t>
        </is>
      </c>
      <c r="B27" s="2" t="inlineStr">
        <is>
          <t>3. Функции по просьбе заказчика</t>
        </is>
      </c>
      <c r="C27" s="2" t="inlineStr">
        <is>
          <t>Запоминать скидку и настройки по клиенту («у Иванова постоянно 10%»)</t>
        </is>
      </c>
      <c r="D27" s="2" t="inlineStr">
        <is>
          <t>не начато</t>
        </is>
      </c>
      <c r="E27" s="2" t="inlineStr"/>
      <c r="F27" s="2" t="inlineStr"/>
      <c r="G27" s="2" t="inlineStr"/>
    </row>
    <row r="28">
      <c r="A28" s="2" t="inlineStr">
        <is>
          <t>В3</t>
        </is>
      </c>
      <c r="B28" s="2" t="inlineStr">
        <is>
          <t>4. Мелочи интерфейса</t>
        </is>
      </c>
      <c r="C28" s="2" t="inlineStr">
        <is>
          <t>Вид «С картинками»: строка «Стандарт: не задан» / название стандарта над «Подобрать накладку»</t>
        </is>
      </c>
      <c r="D28" s="2" t="inlineStr">
        <is>
          <t>сделано</t>
        </is>
      </c>
      <c r="E28" s="2" t="inlineStr">
        <is>
          <t>29.09.2026</t>
        </is>
      </c>
      <c r="F28" s="2" t="inlineStr">
        <is>
          <t>660f88b</t>
        </is>
      </c>
      <c r="G28" s="2" t="inlineStr">
        <is>
          <t>Строка «Стандарт: …» в виде «С картинками»</t>
        </is>
      </c>
    </row>
    <row r="29">
      <c r="A29" s="2" t="inlineStr">
        <is>
          <t>В9</t>
        </is>
      </c>
      <c r="B29" s="2" t="inlineStr">
        <is>
          <t>4. Мелочи интерфейса</t>
        </is>
      </c>
      <c r="C29" s="2" t="inlineStr">
        <is>
          <t>Панель «Стоимость»: процент скидки не противоречит сумме с личными скидками; поле не обрезает «%»</t>
        </is>
      </c>
      <c r="D29" s="2" t="inlineStr">
        <is>
          <t>не начато</t>
        </is>
      </c>
      <c r="E29" s="2" t="inlineStr"/>
      <c r="F29" s="2" t="inlineStr"/>
      <c r="G29" s="2" t="inlineStr"/>
    </row>
    <row r="30">
      <c r="A30" s="2" t="inlineStr">
        <is>
          <t>В12</t>
        </is>
      </c>
      <c r="B30" s="2" t="inlineStr">
        <is>
          <t>4. Мелочи интерфейса</t>
        </is>
      </c>
      <c r="C30" s="2" t="inlineStr">
        <is>
          <t>Окно поста без накладок: совет «измените отбор» один раз, нет ложного «выберите накладку» справа</t>
        </is>
      </c>
      <c r="D30" s="2" t="inlineStr">
        <is>
          <t>не начато</t>
        </is>
      </c>
      <c r="E30" s="2" t="inlineStr"/>
      <c r="F30" s="2" t="inlineStr"/>
      <c r="G30" s="2" t="inlineStr"/>
    </row>
    <row r="31">
      <c r="A31" s="2" t="inlineStr">
        <is>
          <t>В4</t>
        </is>
      </c>
      <c r="B31" s="2" t="inlineStr">
        <is>
          <t>4. Мелочи интерфейса</t>
        </is>
      </c>
      <c r="C31" s="2" t="inlineStr">
        <is>
          <t>Подсказка «сузили: …» называет стандарт и при непустом отборе</t>
        </is>
      </c>
      <c r="D31" s="2" t="inlineStr">
        <is>
          <t>не начато</t>
        </is>
      </c>
      <c r="E31" s="2" t="inlineStr"/>
      <c r="F31" s="2" t="inlineStr"/>
      <c r="G31" s="2" t="inlineStr"/>
    </row>
    <row r="32">
      <c r="A32" s="2" t="inlineStr">
        <is>
          <t>В6</t>
        </is>
      </c>
      <c r="B32" s="2" t="inlineStr">
        <is>
          <t>4. Мелочи интерфейса</t>
        </is>
      </c>
      <c r="C32" s="2" t="inlineStr">
        <is>
          <t>Печать в КП — внахлёст на подпись, а не справа</t>
        </is>
      </c>
      <c r="D32" s="2" t="inlineStr">
        <is>
          <t>сделано</t>
        </is>
      </c>
      <c r="E32" s="2" t="inlineStr">
        <is>
          <t>13.10.2026</t>
        </is>
      </c>
      <c r="F32" s="2" t="inlineStr">
        <is>
          <t>359fad6</t>
        </is>
      </c>
      <c r="G32" s="2" t="inlineStr">
        <is>
          <t>Печать поверх подписи, подпись видна сквозь неё, имя под подписью не перекрыто.</t>
        </is>
      </c>
    </row>
    <row r="33">
      <c r="A33" s="2" t="inlineStr">
        <is>
          <t>З4</t>
        </is>
      </c>
      <c r="B33" s="2" t="inlineStr">
        <is>
          <t>4. Мелочи интерфейса</t>
        </is>
      </c>
      <c r="C33" s="2" t="inlineStr">
        <is>
          <t>Фокус Tab не уезжает на соседнюю строку при слиянии строк скидки</t>
        </is>
      </c>
      <c r="D33" s="2" t="inlineStr">
        <is>
          <t>не начато</t>
        </is>
      </c>
      <c r="E33" s="2" t="inlineStr"/>
      <c r="F33" s="2" t="inlineStr"/>
      <c r="G33" s="2" t="inlineStr"/>
    </row>
    <row r="34">
      <c r="A34" s="2" t="inlineStr">
        <is>
          <t>З3</t>
        </is>
      </c>
      <c r="B34" s="2" t="inlineStr">
        <is>
          <t>5. Ваше решение</t>
        </is>
      </c>
      <c r="C34" s="2" t="inlineStr">
        <is>
          <t>Пост со своей скидкой, равной общей (10 и 10) — сливать ли со строкой без своей скидки</t>
        </is>
      </c>
      <c r="D34" s="2" t="inlineStr">
        <is>
          <t>ждёт вашего решения</t>
        </is>
      </c>
      <c r="E34" s="2" t="inlineStr"/>
      <c r="F34" s="2" t="inlineStr"/>
      <c r="G34" s="2" t="inlineStr"/>
    </row>
    <row r="35">
      <c r="A35" s="2" t="inlineStr">
        <is>
          <t>З5</t>
        </is>
      </c>
      <c r="B35" s="2" t="inlineStr">
        <is>
          <t>5. Ваше решение</t>
        </is>
      </c>
      <c r="C35" s="2" t="inlineStr">
        <is>
          <t>НДС нового проекта по умолчанию «Начислить сверху» — оставить или сменить</t>
        </is>
      </c>
      <c r="D35" s="2" t="inlineStr">
        <is>
          <t>ждёт вашего решения</t>
        </is>
      </c>
      <c r="E35" s="2" t="inlineStr"/>
      <c r="F35" s="2" t="inlineStr"/>
      <c r="G35" s="2" t="inlineStr"/>
    </row>
    <row r="36">
      <c r="A36" s="2" t="inlineStr">
        <is>
          <t>А1</t>
        </is>
      </c>
      <c r="B36" s="2" t="inlineStr">
        <is>
          <t>6. Ждёт ответа заказчика</t>
        </is>
      </c>
      <c r="C36" s="2" t="inlineStr">
        <is>
          <t>Наценка в КП — видна клиенту строкой или сразу в цене</t>
        </is>
      </c>
      <c r="D36" s="2" t="inlineStr">
        <is>
          <t>ждёт заказчика</t>
        </is>
      </c>
      <c r="E36" s="2" t="inlineStr"/>
      <c r="F36" s="2" t="inlineStr"/>
      <c r="G36" s="2" t="inlineStr">
        <is>
          <t>Вы отложили 24.09</t>
        </is>
      </c>
    </row>
    <row r="37">
      <c r="A37" s="2" t="inlineStr">
        <is>
          <t>А8</t>
        </is>
      </c>
      <c r="B37" s="2" t="inlineStr">
        <is>
          <t>6. Ждёт ответа заказчика</t>
        </is>
      </c>
      <c r="C37" s="2" t="inlineStr">
        <is>
          <t>Два документа «Расчёт» и «КП» — чем «Расчёт» отличается</t>
        </is>
      </c>
      <c r="D37" s="2" t="inlineStr">
        <is>
          <t>ждёт заказчика</t>
        </is>
      </c>
      <c r="E37" s="2" t="inlineStr"/>
      <c r="F37" s="2" t="inlineStr"/>
      <c r="G37" s="2" t="inlineStr"/>
    </row>
    <row r="38">
      <c r="A38" s="2" t="inlineStr">
        <is>
          <t>Б8</t>
        </is>
      </c>
      <c r="B38" s="2" t="inlineStr">
        <is>
          <t>6. Ждёт ответа заказчика</t>
        </is>
      </c>
      <c r="C38" s="2" t="inlineStr">
        <is>
          <t>Вертикальные / горизонтальные рамки (разные артикулы)</t>
        </is>
      </c>
      <c r="D38" s="2" t="inlineStr">
        <is>
          <t>ждёт заказчика</t>
        </is>
      </c>
      <c r="E38" s="2" t="inlineStr"/>
      <c r="F38" s="2" t="inlineStr"/>
      <c r="G38" s="2" t="inlineStr"/>
    </row>
    <row r="39">
      <c r="A39" s="2" t="inlineStr">
        <is>
          <t>Г1</t>
        </is>
      </c>
      <c r="B39" s="2" t="inlineStr">
        <is>
          <t>6. Ждёт ответа заказчика</t>
        </is>
      </c>
      <c r="C39" s="2" t="inlineStr">
        <is>
          <t>Подсветка клавиш, часть B (NEVE, Eikon Flat — 9,60 € за светодиод)</t>
        </is>
      </c>
      <c r="D39" s="2" t="inlineStr">
        <is>
          <t>ждёт заказчика</t>
        </is>
      </c>
      <c r="E39" s="2" t="inlineStr"/>
      <c r="F39" s="2" t="inlineStr"/>
      <c r="G39" s="2" t="inlineStr"/>
    </row>
    <row r="40">
      <c r="A40" s="2" t="inlineStr">
        <is>
          <t>Е1</t>
        </is>
      </c>
      <c r="B40" s="2" t="inlineStr">
        <is>
          <t>6. Ждёт ответа заказчика</t>
        </is>
      </c>
      <c r="C40" s="2" t="inlineStr">
        <is>
          <t>Код функции изделия — замена клавиш при смене серии; опечатка 19105.B</t>
        </is>
      </c>
      <c r="D40" s="2" t="inlineStr">
        <is>
          <t>ждёт заказчика</t>
        </is>
      </c>
      <c r="E40" s="2" t="inlineStr"/>
      <c r="F40" s="2" t="inlineStr"/>
      <c r="G40" s="2" t="inlineStr"/>
    </row>
    <row r="41">
      <c r="A41" s="2" t="inlineStr">
        <is>
          <t>Е2</t>
        </is>
      </c>
      <c r="B41" s="2" t="inlineStr">
        <is>
          <t>6. Ждёт ответа заказчика</t>
        </is>
      </c>
      <c r="C41" s="2" t="inlineStr">
        <is>
          <t>Фото 698 артикулов</t>
        </is>
      </c>
      <c r="D41" s="2" t="inlineStr">
        <is>
          <t>ждёт заказчика</t>
        </is>
      </c>
      <c r="E41" s="2" t="inlineStr"/>
      <c r="F41" s="2" t="inlineStr"/>
      <c r="G41" s="2" t="inlineStr"/>
    </row>
    <row r="42">
      <c r="A42" s="2" t="inlineStr">
        <is>
          <t>Е3</t>
        </is>
      </c>
      <c r="B42" s="2" t="inlineStr">
        <is>
          <t>6. Ждёт ответа заказчика</t>
        </is>
      </c>
      <c r="C42" s="2" t="inlineStr">
        <is>
          <t>Подсветка NEVE / Eikon Flat; звонковые кнопки 220 В или 00935</t>
        </is>
      </c>
      <c r="D42" s="2" t="inlineStr">
        <is>
          <t>ждёт заказчика</t>
        </is>
      </c>
      <c r="E42" s="2" t="inlineStr"/>
      <c r="F42" s="2" t="inlineStr"/>
      <c r="G42" s="2" t="inlineStr"/>
    </row>
    <row r="43">
      <c r="A43" s="2" t="inlineStr">
        <is>
          <t>Е4</t>
        </is>
      </c>
      <c r="B43" s="2" t="inlineStr">
        <is>
          <t>6. Ждёт ответа заказчика</t>
        </is>
      </c>
      <c r="C43" s="2" t="inlineStr">
        <is>
          <t>Аксессуары 02973, 02974, 02965.1 и таблица «механизм → аксессуар»</t>
        </is>
      </c>
      <c r="D43" s="2" t="inlineStr">
        <is>
          <t>ждёт заказчика</t>
        </is>
      </c>
      <c r="E43" s="2" t="inlineStr"/>
      <c r="F43" s="2" t="inlineStr"/>
      <c r="G43" s="2" t="inlineStr"/>
    </row>
    <row r="44">
      <c r="A44" s="2" t="inlineStr">
        <is>
          <t>Е5</t>
        </is>
      </c>
      <c r="B44" s="2" t="inlineStr">
        <is>
          <t>6. Ждёт ответа заказчика</t>
        </is>
      </c>
      <c r="C44" s="2" t="inlineStr">
        <is>
          <t>Логотип EPG в векторе, «Соглашения сторон», формат номера КП</t>
        </is>
      </c>
      <c r="D44" s="2" t="inlineStr">
        <is>
          <t>ждёт заказчика</t>
        </is>
      </c>
      <c r="E44" s="2" t="inlineStr"/>
      <c r="F44" s="2" t="inlineStr"/>
      <c r="G44" s="2" t="inlineStr"/>
    </row>
    <row r="45">
      <c r="A45" s="2" t="inlineStr">
        <is>
          <t>Е6</t>
        </is>
      </c>
      <c r="B45" s="2" t="inlineStr">
        <is>
          <t>6. Ждёт ответа заказчика</t>
        </is>
      </c>
      <c r="C45" s="2" t="inlineStr">
        <is>
          <t>Типы пользователей; коды 2 и 4 в «Группе доступа»</t>
        </is>
      </c>
      <c r="D45" s="2" t="inlineStr">
        <is>
          <t>ждёт заказчика</t>
        </is>
      </c>
      <c r="E45" s="2" t="inlineStr"/>
      <c r="F45" s="2" t="inlineStr"/>
      <c r="G45" s="2" t="inlineStr"/>
    </row>
    <row r="46">
      <c r="A46" s="2" t="inlineStr">
        <is>
          <t>Е7</t>
        </is>
      </c>
      <c r="B46" s="2" t="inlineStr">
        <is>
          <t>6. Ждёт ответа заказчика</t>
        </is>
      </c>
      <c r="C46" s="2" t="inlineStr">
        <is>
          <t>Прайс со статусами (в наличии / под заказ / снят, замены), номенклатура LINEA</t>
        </is>
      </c>
      <c r="D46" s="2" t="inlineStr">
        <is>
          <t>ждёт заказчика</t>
        </is>
      </c>
      <c r="E46" s="2" t="inlineStr"/>
      <c r="F46" s="2" t="inlineStr"/>
      <c r="G46" s="2" t="inlineStr"/>
    </row>
    <row r="47">
      <c r="A47" s="2" t="inlineStr">
        <is>
          <t>Е8</t>
        </is>
      </c>
      <c r="B47" s="2" t="inlineStr">
        <is>
          <t>6. Ждёт ответа заказчика</t>
        </is>
      </c>
      <c r="C47" s="2" t="inlineStr">
        <is>
          <t>Немецкий стандарт без накладки на 3 модуля — по умолчанию 2 или 4 (сейчас 2)</t>
        </is>
      </c>
      <c r="D47" s="2" t="inlineStr">
        <is>
          <t>ждёт заказчика</t>
        </is>
      </c>
      <c r="E47" s="2" t="inlineStr"/>
      <c r="F47" s="2" t="inlineStr"/>
      <c r="G47" s="2" t="inlineStr">
        <is>
          <t>Связано с З6</t>
        </is>
      </c>
    </row>
    <row r="48">
      <c r="A48" s="2" t="inlineStr">
        <is>
          <t>Д1</t>
        </is>
      </c>
      <c r="B48" s="2" t="inlineStr">
        <is>
          <t>7. Сервис на продажу</t>
        </is>
      </c>
      <c r="C48" s="2" t="inlineStr">
        <is>
          <t>Личные кабинеты, многопользовательский режим</t>
        </is>
      </c>
      <c r="D48" s="2" t="inlineStr">
        <is>
          <t>не начато</t>
        </is>
      </c>
      <c r="E48" s="2" t="inlineStr"/>
      <c r="F48" s="2" t="inlineStr"/>
      <c r="G48" s="2" t="inlineStr">
        <is>
          <t>Обсудить приоритеты с заказчиком</t>
        </is>
      </c>
    </row>
    <row r="49">
      <c r="A49" s="2" t="inlineStr">
        <is>
          <t>Д2</t>
        </is>
      </c>
      <c r="B49" s="2" t="inlineStr">
        <is>
          <t>7. Сервис на продажу</t>
        </is>
      </c>
      <c r="C49" s="2" t="inlineStr">
        <is>
          <t>Уровни доступа демо / менеджер / профи, покупка брендов, логотип и подпись по тарифу</t>
        </is>
      </c>
      <c r="D49" s="2" t="inlineStr">
        <is>
          <t>не начато</t>
        </is>
      </c>
      <c r="E49" s="2" t="inlineStr"/>
      <c r="F49" s="2" t="inlineStr"/>
      <c r="G49" s="2" t="inlineStr"/>
    </row>
    <row r="50">
      <c r="A50" s="2" t="inlineStr">
        <is>
          <t>Д3</t>
        </is>
      </c>
      <c r="B50" s="2" t="inlineStr">
        <is>
          <t>7. Сервис на продажу</t>
        </is>
      </c>
      <c r="C50" s="2" t="inlineStr">
        <is>
          <t>Версии проекта и история КП; курс евро версионировать вместе с проектом</t>
        </is>
      </c>
      <c r="D50" s="2" t="inlineStr">
        <is>
          <t>не начато</t>
        </is>
      </c>
      <c r="E50" s="2" t="inlineStr"/>
      <c r="F50" s="2" t="inlineStr"/>
      <c r="G50" s="2" t="inlineStr"/>
    </row>
    <row r="51">
      <c r="A51" s="2" t="inlineStr">
        <is>
          <t>Д4</t>
        </is>
      </c>
      <c r="B51" s="2" t="inlineStr">
        <is>
          <t>7. Сервис на продажу</t>
        </is>
      </c>
      <c r="C51" s="2" t="inlineStr">
        <is>
          <t>Обязательные поля проекта, проверка уникальности КП</t>
        </is>
      </c>
      <c r="D51" s="2" t="inlineStr">
        <is>
          <t>не начато</t>
        </is>
      </c>
      <c r="E51" s="2" t="inlineStr"/>
      <c r="F51" s="2" t="inlineStr"/>
      <c r="G51" s="2" t="inlineStr"/>
    </row>
    <row r="52">
      <c r="A52" s="2" t="inlineStr">
        <is>
          <t>Д5</t>
        </is>
      </c>
      <c r="B52" s="2" t="inlineStr">
        <is>
          <t>7. Сервис на продажу</t>
        </is>
      </c>
      <c r="C52" s="2" t="inlineStr">
        <is>
          <t>Сравнение спецификаций разных компаний по одному объекту</t>
        </is>
      </c>
      <c r="D52" s="2" t="inlineStr">
        <is>
          <t>не начато</t>
        </is>
      </c>
      <c r="E52" s="2" t="inlineStr"/>
      <c r="F52" s="2" t="inlineStr"/>
      <c r="G52" s="2" t="inlineStr"/>
    </row>
    <row r="53">
      <c r="A53" s="2" t="inlineStr">
        <is>
          <t>Д6</t>
        </is>
      </c>
      <c r="B53" s="2" t="inlineStr">
        <is>
          <t>7. Сервис на продажу</t>
        </is>
      </c>
      <c r="C53" s="2" t="inlineStr">
        <is>
          <t>Прайсы в других валютах и с другой наценкой под новые бренды</t>
        </is>
      </c>
      <c r="D53" s="2" t="inlineStr">
        <is>
          <t>не начато</t>
        </is>
      </c>
      <c r="E53" s="2" t="inlineStr"/>
      <c r="F53" s="2" t="inlineStr"/>
      <c r="G53" s="2" t="inlineStr"/>
    </row>
    <row r="54">
      <c r="A54" s="2" t="inlineStr">
        <is>
          <t>Ж1</t>
        </is>
      </c>
      <c r="B54" s="2" t="inlineStr">
        <is>
          <t>8. Отложено заказчиком</t>
        </is>
      </c>
      <c r="C54" s="2" t="inlineStr">
        <is>
          <t>Распознавание плана чертежа (кнопки скрыты с 21.09)</t>
        </is>
      </c>
      <c r="D54" s="2" t="inlineStr">
        <is>
          <t>отложено заказчиком</t>
        </is>
      </c>
      <c r="E54" s="2" t="inlineStr"/>
      <c r="F54" s="2" t="inlineStr"/>
      <c r="G54" s="2" t="inlineStr"/>
    </row>
    <row r="55">
      <c r="A55" s="2" t="inlineStr">
        <is>
          <t>Ж2</t>
        </is>
      </c>
      <c r="B55" s="2" t="inlineStr">
        <is>
          <t>8. Отложено заказчиком</t>
        </is>
      </c>
      <c r="C55" s="2" t="inlineStr">
        <is>
          <t>Межсерийные адаптеры 09623, 16723</t>
        </is>
      </c>
      <c r="D55" s="2" t="inlineStr">
        <is>
          <t>отложено заказчиком</t>
        </is>
      </c>
      <c r="E55" s="2" t="inlineStr"/>
      <c r="F55" s="2" t="inlineStr"/>
      <c r="G55" s="2" t="inlineStr"/>
    </row>
    <row r="56">
      <c r="A56" s="2" t="inlineStr">
        <is>
          <t>Ж3</t>
        </is>
      </c>
      <c r="B56" s="2" t="inlineStr">
        <is>
          <t>8. Отложено заказчиком</t>
        </is>
      </c>
      <c r="C56" s="2" t="inlineStr">
        <is>
          <t>Расценки работ по операциям</t>
        </is>
      </c>
      <c r="D56" s="2" t="inlineStr">
        <is>
          <t>отложено заказчиком</t>
        </is>
      </c>
      <c r="E56" s="2" t="inlineStr"/>
      <c r="F56" s="2" t="inlineStr"/>
      <c r="G56" s="2" t="inlineStr"/>
    </row>
    <row r="57">
      <c r="A57" s="2" t="inlineStr">
        <is>
          <t>Ж4</t>
        </is>
      </c>
      <c r="B57" s="2" t="inlineStr">
        <is>
          <t>8. Отложено заказчиком</t>
        </is>
      </c>
      <c r="C57" s="2" t="inlineStr">
        <is>
          <t>Битрикс</t>
        </is>
      </c>
      <c r="D57" s="2" t="inlineStr">
        <is>
          <t>отложено заказчиком</t>
        </is>
      </c>
      <c r="E57" s="2" t="inlineStr"/>
      <c r="F57" s="2" t="inlineStr"/>
      <c r="G57" s="2" t="inlineStr">
        <is>
          <t>Не обязателен</t>
        </is>
      </c>
    </row>
    <row r="58">
      <c r="A58" s="2" t="inlineStr">
        <is>
          <t>В2</t>
        </is>
      </c>
      <c r="B58" s="2" t="inlineStr">
        <is>
          <t>4. Мелочи интерфейса</t>
        </is>
      </c>
      <c r="C58" s="2" t="inlineStr">
        <is>
          <t>Плашка «Под эту комнату накладок нет» — совет один раз</t>
        </is>
      </c>
      <c r="D58" s="2" t="inlineStr">
        <is>
          <t>сделано</t>
        </is>
      </c>
      <c r="E58" s="2" t="inlineStr">
        <is>
          <t>26.09.2026</t>
        </is>
      </c>
      <c r="F58" s="2" t="inlineStr">
        <is>
          <t>d7204e3</t>
        </is>
      </c>
      <c r="G58" s="2" t="inlineStr"/>
    </row>
    <row r="59">
      <c r="A59" s="2" t="inlineStr">
        <is>
          <t>В1</t>
        </is>
      </c>
      <c r="B59" s="2" t="inlineStr">
        <is>
          <t>4. Мелочи интерфейса</t>
        </is>
      </c>
      <c r="C59" s="2" t="inlineStr">
        <is>
          <t>Клик по табличке комнаты при «Разместить» ставит пост</t>
        </is>
      </c>
      <c r="D59" s="2" t="inlineStr">
        <is>
          <t>сделано</t>
        </is>
      </c>
      <c r="E59" s="2" t="inlineStr">
        <is>
          <t>26.09.2026</t>
        </is>
      </c>
      <c r="F59" s="2" t="inlineStr">
        <is>
          <t>56d4916</t>
        </is>
      </c>
      <c r="G59" s="2" t="inlineStr"/>
    </row>
    <row r="60">
      <c r="A60" s="2" t="inlineStr">
        <is>
          <t>Б1</t>
        </is>
      </c>
      <c r="B60" s="2" t="inlineStr">
        <is>
          <t>3. Функции по просьбе заказчика</t>
        </is>
      </c>
      <c r="C60" s="2" t="inlineStr">
        <is>
          <t>Убрать одиночные элементы с плана (счётчик «Элементов»)</t>
        </is>
      </c>
      <c r="D60" s="2" t="inlineStr">
        <is>
          <t>сделано</t>
        </is>
      </c>
      <c r="E60" s="2" t="inlineStr">
        <is>
          <t>26.09.2026</t>
        </is>
      </c>
      <c r="F60" s="2" t="inlineStr">
        <is>
          <t>69762c3</t>
        </is>
      </c>
      <c r="G60" s="2" t="inlineStr"/>
    </row>
    <row r="61">
      <c r="A61" s="2" t="inlineStr">
        <is>
          <t>А2</t>
        </is>
      </c>
      <c r="B61" s="2" t="inlineStr">
        <is>
          <t>3. Функции по просьбе заказчика</t>
        </is>
      </c>
      <c r="C61" s="2" t="inlineStr">
        <is>
          <t>Скидка на отдельные позиции</t>
        </is>
      </c>
      <c r="D61" s="2" t="inlineStr">
        <is>
          <t>сделано</t>
        </is>
      </c>
      <c r="E61" s="2" t="inlineStr">
        <is>
          <t>26.09.2026</t>
        </is>
      </c>
      <c r="F61" s="2" t="inlineStr">
        <is>
          <t>f9c3143</t>
        </is>
      </c>
      <c r="G61" s="2" t="inlineStr"/>
    </row>
    <row r="62">
      <c r="A62" s="2" t="inlineStr">
        <is>
          <t>Б2</t>
        </is>
      </c>
      <c r="B62" s="2" t="inlineStr">
        <is>
          <t>3. Функции по просьбе заказчика</t>
        </is>
      </c>
      <c r="C62" s="2" t="inlineStr">
        <is>
          <t>Лист монтажника: «общая сборка» / «взрыв-схема»</t>
        </is>
      </c>
      <c r="D62" s="2" t="inlineStr">
        <is>
          <t>сделано</t>
        </is>
      </c>
      <c r="E62" s="2" t="inlineStr">
        <is>
          <t>26.09.2026</t>
        </is>
      </c>
      <c r="F62" s="2" t="inlineStr">
        <is>
          <t>8511c47</t>
        </is>
      </c>
      <c r="G62" s="2" t="inlineStr"/>
    </row>
    <row r="63">
      <c r="A63" s="2" t="inlineStr">
        <is>
          <t>А4</t>
        </is>
      </c>
      <c r="B63" s="2" t="inlineStr">
        <is>
          <t>3. Функции по просьбе заказчика</t>
        </is>
      </c>
      <c r="C63" s="2" t="inlineStr">
        <is>
          <t>Автонумерация КП EPG-2026-0001</t>
        </is>
      </c>
      <c r="D63" s="2" t="inlineStr">
        <is>
          <t>сделано</t>
        </is>
      </c>
      <c r="E63" s="2" t="inlineStr">
        <is>
          <t>24.09.2026</t>
        </is>
      </c>
      <c r="F63" s="2" t="inlineStr"/>
      <c r="G63" s="2" t="inlineStr"/>
    </row>
    <row r="64">
      <c r="A64" s="2" t="inlineStr">
        <is>
          <t>А3</t>
        </is>
      </c>
      <c r="B64" s="2" t="inlineStr">
        <is>
          <t>3. Функции по просьбе заказчика</t>
        </is>
      </c>
      <c r="C64" s="2" t="inlineStr">
        <is>
          <t>НДС — три режима</t>
        </is>
      </c>
      <c r="D64" s="2" t="inlineStr">
        <is>
          <t>сделано</t>
        </is>
      </c>
      <c r="E64" s="2" t="inlineStr">
        <is>
          <t>24.09.2026</t>
        </is>
      </c>
      <c r="F64" s="2" t="inlineStr"/>
      <c r="G64" s="2" t="inlineStr"/>
    </row>
    <row r="65">
      <c r="A65" s="2" t="inlineStr">
        <is>
          <t>В15</t>
        </is>
      </c>
      <c r="B65" s="2" t="inlineStr">
        <is>
          <t>1. Деньги и потеря данных</t>
        </is>
      </c>
      <c r="C65" s="2" t="inlineStr">
        <is>
          <t>Удалил стену и нарисовал заново — комната среди других исчезает вместе с полями (у любой формы)</t>
        </is>
      </c>
      <c r="D65" s="2" t="inlineStr">
        <is>
          <t>сделано</t>
        </is>
      </c>
      <c r="E65" s="2" t="inlineStr">
        <is>
          <t>29.09.2026</t>
        </is>
      </c>
      <c r="F65" s="2" t="inlineStr">
        <is>
          <t>154a9fa</t>
        </is>
      </c>
      <c r="G65" s="2" t="inlineStr">
        <is>
          <t>Комната возвращается со своими полями и ценой; память в проекте</t>
        </is>
      </c>
    </row>
    <row r="66">
      <c r="A66" s="2" t="inlineStr">
        <is>
          <t>З13</t>
        </is>
      </c>
      <c r="B66" s="2" t="inlineStr">
        <is>
          <t>2. Надёжность кода</t>
        </is>
      </c>
      <c r="C66" s="2" t="inlineStr">
        <is>
          <t>Тесты: перенос полей не должен брать точку таблички или сырой полюс (мутации MX1/MX2 не пойманы)</t>
        </is>
      </c>
      <c r="D66" s="2" t="inlineStr">
        <is>
          <t>сделано</t>
        </is>
      </c>
      <c r="E66" s="2" t="inlineStr">
        <is>
          <t>29.09.2026</t>
        </is>
      </c>
      <c r="F66" s="2" t="inlineStr">
        <is>
          <t>154a9fa</t>
        </is>
      </c>
      <c r="G66" s="2" t="inlineStr">
        <is>
          <t>Тесты с жёстким ожиданием; MX1/MX2 красят</t>
        </is>
      </c>
    </row>
    <row r="67">
      <c r="A67" s="2" t="inlineStr">
        <is>
          <t>З14</t>
        </is>
      </c>
      <c r="B67" s="2" t="inlineStr">
        <is>
          <t>2. Надёжность кода</t>
        </is>
      </c>
      <c r="C67" s="2" t="inlineStr">
        <is>
          <t>Тесты: память исчезнувших комнат не должна попадать на постороннюю комнату (мутации MY1/MY2/MY8 не пойманы)</t>
        </is>
      </c>
      <c r="D67" s="2" t="inlineStr">
        <is>
          <t>сделано</t>
        </is>
      </c>
      <c r="E67" s="2" t="inlineStr">
        <is>
          <t>29.09.2026</t>
        </is>
      </c>
      <c r="F67" s="2" t="inlineStr">
        <is>
          <t>01acd84</t>
        </is>
      </c>
      <c r="G67" s="2" t="inlineStr">
        <is>
          <t>Тесты Ж7–Ж9; все 8 мутаций памяти красят</t>
        </is>
      </c>
    </row>
  </sheetData>
  <autoFilter ref="A1:G66"/>
  <conditionalFormatting sqref="A2:G256">
    <cfRule type="expression" priority="1" dxfId="0">
      <formula>$D2="сделано"</formula>
    </cfRule>
    <cfRule type="expression" priority="2" dxfId="1">
      <formula>$D2="в работе"</formula>
    </cfRule>
    <cfRule type="expression" priority="3" dxfId="2">
      <formula>$D2="ждёт заказчика"</formula>
    </cfRule>
    <cfRule type="expression" priority="4" dxfId="3">
      <formula>$D2="ждёт вашего решения"</formula>
    </cfRule>
    <cfRule type="expression" priority="5" dxfId="4">
      <formula>$D2="отложено заказчиком"</formula>
    </cfRule>
  </conditionalFormatting>
  <dataValidations count="1">
    <dataValidation sqref="D2:D256" showDropDown="0" showInputMessage="0" showErrorMessage="0" allowBlank="0" type="list">
      <formula1>"сделано,в работе,не начато,ждёт заказчика,ждёт вашего решения,отложено заказчиком"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3" t="inlineStr">
        <is>
          <t>Статус</t>
        </is>
      </c>
      <c r="B1" s="3" t="inlineStr">
        <is>
          <t>Пунктов</t>
        </is>
      </c>
    </row>
    <row r="2">
      <c r="A2" s="4" t="inlineStr">
        <is>
          <t>в работе</t>
        </is>
      </c>
      <c r="B2" s="4">
        <f>COUNTIF(Этапы!D:D,"в работе")</f>
        <v/>
      </c>
    </row>
    <row r="3">
      <c r="A3" s="4" t="inlineStr">
        <is>
          <t>не начато</t>
        </is>
      </c>
      <c r="B3" s="4">
        <f>COUNTIF(Этапы!D:D,"не начато")</f>
        <v/>
      </c>
    </row>
    <row r="4">
      <c r="A4" s="4" t="inlineStr">
        <is>
          <t>ждёт вашего решения</t>
        </is>
      </c>
      <c r="B4" s="4">
        <f>COUNTIF(Этапы!D:D,"ждёт вашего решения")</f>
        <v/>
      </c>
    </row>
    <row r="5">
      <c r="A5" s="4" t="inlineStr">
        <is>
          <t>ждёт заказчика</t>
        </is>
      </c>
      <c r="B5" s="4">
        <f>COUNTIF(Этапы!D:D,"ждёт заказчика")</f>
        <v/>
      </c>
    </row>
    <row r="6">
      <c r="A6" s="4" t="inlineStr">
        <is>
          <t>отложено заказчиком</t>
        </is>
      </c>
      <c r="B6" s="4">
        <f>COUNTIF(Этапы!D:D,"отложено заказчиком")</f>
        <v/>
      </c>
    </row>
    <row r="7">
      <c r="A7" s="4" t="inlineStr">
        <is>
          <t>сделано</t>
        </is>
      </c>
      <c r="B7" s="4">
        <f>COUNTIF(Этапы!D:D,"сделано")</f>
        <v/>
      </c>
    </row>
    <row r="8">
      <c r="A8" s="5" t="inlineStr">
        <is>
          <t>Всего</t>
        </is>
      </c>
      <c r="B8" s="5">
        <f>SUM(B2:B7)</f>
        <v/>
      </c>
    </row>
    <row r="9">
      <c r="A9" s="4" t="n"/>
      <c r="B9" s="4" t="n"/>
    </row>
    <row r="10">
      <c r="A10" s="4" t="inlineStr">
        <is>
          <t>Порядок работы: В10 → И1 (разбиение app.js) → В13 → В3 → В9 → А5 → А6 → Б3–Б5 → остальное</t>
        </is>
      </c>
      <c r="B10" s="4" t="n"/>
    </row>
    <row r="11">
      <c r="A11" s="4" t="inlineStr">
        <is>
          <t>Источник: docs/ОСТАТОК-РАБОТ.md. Статусы отмечает Claude после каждого закрытого пункта; можно и вручную.</t>
        </is>
      </c>
      <c r="B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2026-09-26T14:08:38Z</dcterms:created>
  <dcterms:modified xmlns:dcterms="http://purl.org/dc/terms/" xmlns:xsi="http://www.w3.org/2001/XMLSchema-instance" xsi:type="dcterms:W3CDTF">2026-10-14T00:50:26Z</dcterms:modified>
</cp:coreProperties>
</file>